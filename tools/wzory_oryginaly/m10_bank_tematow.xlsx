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.10 Bank temató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<sst xmlns="http://schemas.openxmlformats.org/spreadsheetml/2006/main" count="94" uniqueCount="93">
  <si>
    <t xml:space="preserve">[ MIEJSCE NA LOGO ]     Nazwa firmy / konsultanta BHP     www.twojastrona.pl</t>
  </si>
  <si>
    <t xml:space="preserve">M.10   Bank tematów i harmonogram kontroli tematycznych BHP</t>
  </si>
  <si>
    <t xml:space="preserve">Narzędzie do systematycznego wyboru tematu na potrzeby cyklicznych, punktowych kontroli (kilka razy w roku). Tematy 1-26 opracowane na bazie zestawu instrukcji BHP, tematy 27-36 na bazie BHP_Audyt_Pro.xlsx (checklisty miesięczna/kwartalna/roczna oraz listy kontrolne PIP i SANEPID) — zapewnia pełne pokrycie obszarów bhp i prawa pracy w ciągu roku</t>
  </si>
  <si>
    <t xml:space="preserve">Nazwa zakładu pracy:</t>
  </si>
  <si>
    <t xml:space="preserve">Rok planu:</t>
  </si>
  <si>
    <t xml:space="preserve">Nr
tematu</t>
  </si>
  <si>
    <t xml:space="preserve">Temat kontroli tematycznej</t>
  </si>
  <si>
    <t xml:space="preserve">Powiązany dokument
/ instrukcja</t>
  </si>
  <si>
    <t xml:space="preserve">Data ostatniej
kontroli</t>
  </si>
  <si>
    <t xml:space="preserve">Wynik ostatniej kontroli
(liczba nieprawidłowości)</t>
  </si>
  <si>
    <t xml:space="preserve">Priorytet
(niski/średni/wysoki)</t>
  </si>
  <si>
    <t xml:space="preserve">Planowana data
kolejnej kontroli</t>
  </si>
  <si>
    <t xml:space="preserve">Dni do
terminu</t>
  </si>
  <si>
    <t xml:space="preserve">Status</t>
  </si>
  <si>
    <t xml:space="preserve">Uwagi</t>
  </si>
  <si>
    <t xml:space="preserve">Drogi i wyjścia ewakuacyjne</t>
  </si>
  <si>
    <t xml:space="preserve">E.6</t>
  </si>
  <si>
    <t xml:space="preserve">Gaśnice i sprzęt przeciwpożarowy</t>
  </si>
  <si>
    <t xml:space="preserve">E.12, I.5</t>
  </si>
  <si>
    <t xml:space="preserve">Apteczki pierwszej pomocy</t>
  </si>
  <si>
    <t xml:space="preserve">E.5, I.6</t>
  </si>
  <si>
    <t xml:space="preserve">Stan techniczny i dokumentacja wózków widłowych</t>
  </si>
  <si>
    <t xml:space="preserve">E.26, K.4a</t>
  </si>
  <si>
    <t xml:space="preserve">Stan techniczny regałów magazynowych</t>
  </si>
  <si>
    <t xml:space="preserve">E.29</t>
  </si>
  <si>
    <t xml:space="preserve">Oznakowanie i znaki bezpieczeństwa</t>
  </si>
  <si>
    <t xml:space="preserve">E.15</t>
  </si>
  <si>
    <t xml:space="preserve">Stosowanie ŚOI przez pracowników</t>
  </si>
  <si>
    <t xml:space="preserve">E.14, H.1–H.4</t>
  </si>
  <si>
    <t xml:space="preserve">Stan elektronarzędzi i przedłużaczy</t>
  </si>
  <si>
    <t xml:space="preserve">E.43, E.92</t>
  </si>
  <si>
    <t xml:space="preserve">Przechowywanie i oznakowanie substancji chemicznych</t>
  </si>
  <si>
    <t xml:space="preserve">E.4, E.31, L.1</t>
  </si>
  <si>
    <t xml:space="preserve">Dostępność i aktualność kart charakterystyki (SDS)</t>
  </si>
  <si>
    <t xml:space="preserve">L.2</t>
  </si>
  <si>
    <t xml:space="preserve">Dostępność i aktualność instrukcji stanowiskowych</t>
  </si>
  <si>
    <t xml:space="preserve">E.9, SZABLON</t>
  </si>
  <si>
    <t xml:space="preserve">Aktualność badań lekarskich pracowników</t>
  </si>
  <si>
    <t xml:space="preserve">B.2, B.3</t>
  </si>
  <si>
    <t xml:space="preserve">Aktualność szkoleń bhp pracowników</t>
  </si>
  <si>
    <t xml:space="preserve">E.9, E.79</t>
  </si>
  <si>
    <t xml:space="preserve">Zabezpieczenia przy pracach na wysokości</t>
  </si>
  <si>
    <t xml:space="preserve">E.45, E.46, E.47</t>
  </si>
  <si>
    <t xml:space="preserve">Zezwolenia na prace szczególnie niebezpieczne</t>
  </si>
  <si>
    <t xml:space="preserve">E.85, J.1</t>
  </si>
  <si>
    <t xml:space="preserve">Wizualny stan instalacji elektrycznej</t>
  </si>
  <si>
    <t xml:space="preserve">F.9, F.10</t>
  </si>
  <si>
    <t xml:space="preserve">Ergonomia stanowisk biurowych</t>
  </si>
  <si>
    <t xml:space="preserve">E.8, E.23</t>
  </si>
  <si>
    <t xml:space="preserve">Oświetlenie stanowisk pracy</t>
  </si>
  <si>
    <t xml:space="preserve">F.8</t>
  </si>
  <si>
    <t xml:space="preserve">Stan techniczny drabin i podestów</t>
  </si>
  <si>
    <t xml:space="preserve">E.47</t>
  </si>
  <si>
    <t xml:space="preserve">Zabezpieczenia maszyn (osłony, wyłączniki awaryjne)</t>
  </si>
  <si>
    <t xml:space="preserve">K.1, K.3</t>
  </si>
  <si>
    <t xml:space="preserve">Porządek i czystość na stanowiskach pracy (5S)</t>
  </si>
  <si>
    <t xml:space="preserve">—</t>
  </si>
  <si>
    <t xml:space="preserve">Przestrzeganie zakazu palenia i miejsc wyznaczonych</t>
  </si>
  <si>
    <t xml:space="preserve">E.12</t>
  </si>
  <si>
    <t xml:space="preserve">Poziom hałasu i zapylenia — obserwacja orientacyjna</t>
  </si>
  <si>
    <t xml:space="preserve">F.6</t>
  </si>
  <si>
    <t xml:space="preserve">Postępowanie z odpadami niebezpiecznymi</t>
  </si>
  <si>
    <t xml:space="preserve">E.87</t>
  </si>
  <si>
    <t xml:space="preserve">Prowadzenie prac przez min. dwie osoby (tam gdzie wymagane)</t>
  </si>
  <si>
    <t xml:space="preserve">J.2</t>
  </si>
  <si>
    <t xml:space="preserve">Warunki pracy kobiet w ciąży / młodocianych (jeśli dotyczy)</t>
  </si>
  <si>
    <t xml:space="preserve">J.3, J.4</t>
  </si>
  <si>
    <t xml:space="preserve">Pomieszczenia higieniczno-sanitarne (szatnie, umywalnie, natryski, WC)</t>
  </si>
  <si>
    <t xml:space="preserve">BHP_Audyt_Pro — PIP XX</t>
  </si>
  <si>
    <t xml:space="preserve">Wentylacja, ogrzewanie i temperatura pomieszczeń pracy</t>
  </si>
  <si>
    <t xml:space="preserve">BHP_Audyt_Pro — PIP XIV</t>
  </si>
  <si>
    <t xml:space="preserve">Pojazdy służbowe — przeglądy techniczne i ubezpieczenia</t>
  </si>
  <si>
    <t xml:space="preserve">E.70, BHP_Audyt_Pro</t>
  </si>
  <si>
    <t xml:space="preserve">Wdrożenie nowych pracowników i grup szczególnych (młodociani, niepełnosprawni)</t>
  </si>
  <si>
    <t xml:space="preserve">E.1, J.3, J.4, BHP_Audyt_Pro</t>
  </si>
  <si>
    <t xml:space="preserve">Sprawozdawczość obowiązkowa (Z-10 GUS, roczna informacja CMR, inne)</t>
  </si>
  <si>
    <t xml:space="preserve">F.4, BHP_Audyt_Pro</t>
  </si>
  <si>
    <t xml:space="preserve">Formalna dokumentacja stosunku pracy (umowy, akta osobowe)</t>
  </si>
  <si>
    <t xml:space="preserve">BHP_Audyt_Pro — PIP II</t>
  </si>
  <si>
    <t xml:space="preserve">Czas pracy, urlopy i ewidencja obecności</t>
  </si>
  <si>
    <t xml:space="preserve">BHP_Audyt_Pro — PIP V, VI</t>
  </si>
  <si>
    <t xml:space="preserve">Aktualność i kompletność ocen ryzyka zawodowego na stanowiskach</t>
  </si>
  <si>
    <t xml:space="preserve">D.1, BHP_Audyt_Pro — PIP VIII</t>
  </si>
  <si>
    <t xml:space="preserve">Ogólny stan techniczny budynku i infrastruktury</t>
  </si>
  <si>
    <t xml:space="preserve">BHP_Audyt_Pro — PIP XIII</t>
  </si>
  <si>
    <t xml:space="preserve">Instalacje energetyczne — przeglądy okresowe i dokumentacja</t>
  </si>
  <si>
    <t xml:space="preserve">E.52, F.10, BHP_Audyt_Pro — PIP XVII</t>
  </si>
  <si>
    <t xml:space="preserve">JAK WYBRAĆ TEMAT KOLEJNEJ KONTROLI: (1) Losowo — wylosuj numer tematu (1–36), np. za pomocą generatora liczb losowych lub kartek w pojemniku; (2) Rotacyjnie — wybierz temat z najstarszą datą ostatniej kontroli lub bez wpisanej daty; (3) Priorytetowo — wybierz temat oznaczony wysokim priorytetem lub temat związany z niedawnym zdarzeniem/wypadkiem/zgłoszeniem. Zaleca się przeprowadzanie kontroli tematycznej co 4–6 tygodni (ok. 8–12 razy w roku), tak aby w ciągu 3 lat każdy temat z banku został sprawdzony co najmniej raz.</t>
  </si>
  <si>
    <t xml:space="preserve">Po każdej przeprowadzonej kontroli tematycznej (dokument M.9) zaktualizuj w tej tabeli: datę ostatniej kontroli, wynik i planowaną datę kolejnej. Tabelę można rozszerzyć o dodatkowe tematy specyficzne dla danego zakładu.</t>
  </si>
  <si>
    <t xml:space="preserve">Opracował / Sporządził:</t>
  </si>
  <si>
    <t xml:space="preserve">Zatwierdził (pracodawca):</t>
  </si>
  <si>
    <t xml:space="preserve">Data:</t>
  </si>
  <si>
    <t xml:space="preserve">Dokument opracowany zgodnie z obowiązującymi przepisami BHP — wzór do dostosowania do specyfiki zakładu pracy.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</si>
</sst>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4"/>
      <color rgb="FF24272C"/>
      <name val="Calibri"/>
      <family val="0"/>
      <charset val="1"/>
    </font>
    <font>
      <sz val="9.5"/>
      <color rgb="FF6B7280"/>
      <name val="Calibri"/>
      <family val="0"/>
      <charset val="1"/>
    </font>
    <font>
      <b val="true"/>
      <sz val="10"/>
      <color rgb="FF24272C"/>
      <name val="Calibri"/>
      <family val="0"/>
      <charset val="1"/>
    </font>
    <font>
      <sz val="10"/>
      <color rgb="FF24272C"/>
      <name val="Calibri"/>
      <family val="0"/>
      <charset val="1"/>
    </font>
    <font>
      <sz val="8.5"/>
      <color rgb="FF0E7C7A"/>
      <name val="Calibri"/>
      <family val="0"/>
      <charset val="1"/>
    </font>
    <font>
      <i val="true"/>
      <sz val="8.5"/>
      <color rgb="FF6B7280"/>
      <name val="Calibri"/>
      <family val="0"/>
      <charset val="1"/>
    </font>
    <font>
      <i val="true"/>
      <sz val="8"/>
      <color rgb="FF6B728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FFF3CD"/>
      </patternFill>
    </fill>
    <fill>
      <patternFill patternType="solid">
        <fgColor rgb="FFE8F3F1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FF3CD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F1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7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6" hidden="false" customHeight="true" outlineLevel="0" collapsed="false"/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4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7" customFormat="false" ht="19.5" hidden="false" customHeight="true" outlineLevel="0" collapsed="false">
      <c r="A7" s="5" t="s">
        <v>3</v>
      </c>
      <c r="B7" s="5"/>
      <c r="C7" s="6"/>
      <c r="D7" s="6"/>
      <c r="E7" s="6"/>
      <c r="F7" s="5" t="s">
        <v>4</v>
      </c>
      <c r="G7" s="5"/>
      <c r="H7" s="6"/>
      <c r="I7" s="6"/>
      <c r="J7" s="6"/>
    </row>
    <row r="9" customFormat="false" ht="51.75" hidden="false" customHeight="true" outlineLevel="0" collapsed="false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13</v>
      </c>
      <c r="J9" s="7" t="s">
        <v>14</v>
      </c>
    </row>
    <row r="10" customFormat="false" ht="30" hidden="false" customHeight="true" outlineLevel="0" collapsed="false">
      <c r="A10" s="8" t="n">
        <v>1</v>
      </c>
      <c r="B10" s="9" t="s">
        <v>15</v>
      </c>
      <c r="C10" s="10" t="s">
        <v>16</v>
      </c>
      <c r="D10" s="11"/>
      <c r="E10" s="11"/>
      <c r="F10" s="11"/>
      <c r="G10" s="11"/>
      <c r="H10" s="12" t="str">
        <f aca="true">IF(G10="","",G10-TODAY())</f>
        <v/>
      </c>
      <c r="I10" s="12" t="str">
        <f aca="false">IF(H10="","",IF(H10&lt;0,"PRZETERMINOWANE",IF(H10&lt;=14,"PILNE (≤14 dni)",IF(H10&lt;=45,"UWAGA (≤45 dni)","ZAPLANOWANE"))))</f>
        <v/>
      </c>
      <c r="J10" s="11"/>
    </row>
    <row r="11" customFormat="false" ht="30" hidden="false" customHeight="true" outlineLevel="0" collapsed="false">
      <c r="A11" s="13" t="n">
        <v>2</v>
      </c>
      <c r="B11" s="14" t="s">
        <v>17</v>
      </c>
      <c r="C11" s="15" t="s">
        <v>18</v>
      </c>
      <c r="D11" s="11"/>
      <c r="E11" s="11"/>
      <c r="F11" s="11"/>
      <c r="G11" s="11"/>
      <c r="H11" s="12" t="str">
        <f aca="true">IF(G11="","",G11-TODAY())</f>
        <v/>
      </c>
      <c r="I11" s="12" t="str">
        <f aca="false">IF(H11="","",IF(H11&lt;0,"PRZETERMINOWANE",IF(H11&lt;=14,"PILNE (≤14 dni)",IF(H11&lt;=45,"UWAGA (≤45 dni)","ZAPLANOWANE"))))</f>
        <v/>
      </c>
      <c r="J11" s="11"/>
    </row>
    <row r="12" customFormat="false" ht="30" hidden="false" customHeight="true" outlineLevel="0" collapsed="false">
      <c r="A12" s="8" t="n">
        <v>3</v>
      </c>
      <c r="B12" s="9" t="s">
        <v>19</v>
      </c>
      <c r="C12" s="10" t="s">
        <v>20</v>
      </c>
      <c r="D12" s="11"/>
      <c r="E12" s="11"/>
      <c r="F12" s="11"/>
      <c r="G12" s="11"/>
      <c r="H12" s="12" t="str">
        <f aca="true">IF(G12="","",G12-TODAY())</f>
        <v/>
      </c>
      <c r="I12" s="12" t="str">
        <f aca="false">IF(H12="","",IF(H12&lt;0,"PRZETERMINOWANE",IF(H12&lt;=14,"PILNE (≤14 dni)",IF(H12&lt;=45,"UWAGA (≤45 dni)","ZAPLANOWANE"))))</f>
        <v/>
      </c>
      <c r="J12" s="11"/>
    </row>
    <row r="13" customFormat="false" ht="30" hidden="false" customHeight="true" outlineLevel="0" collapsed="false">
      <c r="A13" s="13" t="n">
        <v>4</v>
      </c>
      <c r="B13" s="14" t="s">
        <v>21</v>
      </c>
      <c r="C13" s="15" t="s">
        <v>22</v>
      </c>
      <c r="D13" s="11"/>
      <c r="E13" s="11"/>
      <c r="F13" s="11"/>
      <c r="G13" s="11"/>
      <c r="H13" s="12" t="str">
        <f aca="true">IF(G13="","",G13-TODAY())</f>
        <v/>
      </c>
      <c r="I13" s="12" t="str">
        <f aca="false">IF(H13="","",IF(H13&lt;0,"PRZETERMINOWANE",IF(H13&lt;=14,"PILNE (≤14 dni)",IF(H13&lt;=45,"UWAGA (≤45 dni)","ZAPLANOWANE"))))</f>
        <v/>
      </c>
      <c r="J13" s="11"/>
    </row>
    <row r="14" customFormat="false" ht="30" hidden="false" customHeight="true" outlineLevel="0" collapsed="false">
      <c r="A14" s="8" t="n">
        <v>5</v>
      </c>
      <c r="B14" s="9" t="s">
        <v>23</v>
      </c>
      <c r="C14" s="10" t="s">
        <v>24</v>
      </c>
      <c r="D14" s="11"/>
      <c r="E14" s="11"/>
      <c r="F14" s="11"/>
      <c r="G14" s="11"/>
      <c r="H14" s="12" t="str">
        <f aca="true">IF(G14="","",G14-TODAY())</f>
        <v/>
      </c>
      <c r="I14" s="12" t="str">
        <f aca="false">IF(H14="","",IF(H14&lt;0,"PRZETERMINOWANE",IF(H14&lt;=14,"PILNE (≤14 dni)",IF(H14&lt;=45,"UWAGA (≤45 dni)","ZAPLANOWANE"))))</f>
        <v/>
      </c>
      <c r="J14" s="11"/>
    </row>
    <row r="15" customFormat="false" ht="30" hidden="false" customHeight="true" outlineLevel="0" collapsed="false">
      <c r="A15" s="13" t="n">
        <v>6</v>
      </c>
      <c r="B15" s="14" t="s">
        <v>25</v>
      </c>
      <c r="C15" s="15" t="s">
        <v>26</v>
      </c>
      <c r="D15" s="11"/>
      <c r="E15" s="11"/>
      <c r="F15" s="11"/>
      <c r="G15" s="11"/>
      <c r="H15" s="12" t="str">
        <f aca="true">IF(G15="","",G15-TODAY())</f>
        <v/>
      </c>
      <c r="I15" s="12" t="str">
        <f aca="false">IF(H15="","",IF(H15&lt;0,"PRZETERMINOWANE",IF(H15&lt;=14,"PILNE (≤14 dni)",IF(H15&lt;=45,"UWAGA (≤45 dni)","ZAPLANOWANE"))))</f>
        <v/>
      </c>
      <c r="J15" s="11"/>
    </row>
    <row r="16" customFormat="false" ht="30" hidden="false" customHeight="true" outlineLevel="0" collapsed="false">
      <c r="A16" s="8" t="n">
        <v>7</v>
      </c>
      <c r="B16" s="9" t="s">
        <v>27</v>
      </c>
      <c r="C16" s="10" t="s">
        <v>28</v>
      </c>
      <c r="D16" s="11"/>
      <c r="E16" s="11"/>
      <c r="F16" s="11"/>
      <c r="G16" s="11"/>
      <c r="H16" s="12" t="str">
        <f aca="true">IF(G16="","",G16-TODAY())</f>
        <v/>
      </c>
      <c r="I16" s="12" t="str">
        <f aca="false">IF(H16="","",IF(H16&lt;0,"PRZETERMINOWANE",IF(H16&lt;=14,"PILNE (≤14 dni)",IF(H16&lt;=45,"UWAGA (≤45 dni)","ZAPLANOWANE"))))</f>
        <v/>
      </c>
      <c r="J16" s="11"/>
    </row>
    <row r="17" customFormat="false" ht="30" hidden="false" customHeight="true" outlineLevel="0" collapsed="false">
      <c r="A17" s="13" t="n">
        <v>8</v>
      </c>
      <c r="B17" s="14" t="s">
        <v>29</v>
      </c>
      <c r="C17" s="15" t="s">
        <v>30</v>
      </c>
      <c r="D17" s="11"/>
      <c r="E17" s="11"/>
      <c r="F17" s="11"/>
      <c r="G17" s="11"/>
      <c r="H17" s="12" t="str">
        <f aca="true">IF(G17="","",G17-TODAY())</f>
        <v/>
      </c>
      <c r="I17" s="12" t="str">
        <f aca="false">IF(H17="","",IF(H17&lt;0,"PRZETERMINOWANE",IF(H17&lt;=14,"PILNE (≤14 dni)",IF(H17&lt;=45,"UWAGA (≤45 dni)","ZAPLANOWANE"))))</f>
        <v/>
      </c>
      <c r="J17" s="11"/>
    </row>
    <row r="18" customFormat="false" ht="30" hidden="false" customHeight="true" outlineLevel="0" collapsed="false">
      <c r="A18" s="8" t="n">
        <v>9</v>
      </c>
      <c r="B18" s="9" t="s">
        <v>31</v>
      </c>
      <c r="C18" s="10" t="s">
        <v>32</v>
      </c>
      <c r="D18" s="11"/>
      <c r="E18" s="11"/>
      <c r="F18" s="11"/>
      <c r="G18" s="11"/>
      <c r="H18" s="12" t="str">
        <f aca="true">IF(G18="","",G18-TODAY())</f>
        <v/>
      </c>
      <c r="I18" s="12" t="str">
        <f aca="false">IF(H18="","",IF(H18&lt;0,"PRZETERMINOWANE",IF(H18&lt;=14,"PILNE (≤14 dni)",IF(H18&lt;=45,"UWAGA (≤45 dni)","ZAPLANOWANE"))))</f>
        <v/>
      </c>
      <c r="J18" s="11"/>
    </row>
    <row r="19" customFormat="false" ht="30" hidden="false" customHeight="true" outlineLevel="0" collapsed="false">
      <c r="A19" s="13" t="n">
        <v>10</v>
      </c>
      <c r="B19" s="14" t="s">
        <v>33</v>
      </c>
      <c r="C19" s="15" t="s">
        <v>34</v>
      </c>
      <c r="D19" s="11"/>
      <c r="E19" s="11"/>
      <c r="F19" s="11"/>
      <c r="G19" s="11"/>
      <c r="H19" s="12" t="str">
        <f aca="true">IF(G19="","",G19-TODAY())</f>
        <v/>
      </c>
      <c r="I19" s="12" t="str">
        <f aca="false">IF(H19="","",IF(H19&lt;0,"PRZETERMINOWANE",IF(H19&lt;=14,"PILNE (≤14 dni)",IF(H19&lt;=45,"UWAGA (≤45 dni)","ZAPLANOWANE"))))</f>
        <v/>
      </c>
      <c r="J19" s="11"/>
    </row>
    <row r="20" customFormat="false" ht="30" hidden="false" customHeight="true" outlineLevel="0" collapsed="false">
      <c r="A20" s="8" t="n">
        <v>11</v>
      </c>
      <c r="B20" s="9" t="s">
        <v>35</v>
      </c>
      <c r="C20" s="10" t="s">
        <v>36</v>
      </c>
      <c r="D20" s="11"/>
      <c r="E20" s="11"/>
      <c r="F20" s="11"/>
      <c r="G20" s="11"/>
      <c r="H20" s="12" t="str">
        <f aca="true">IF(G20="","",G20-TODAY())</f>
        <v/>
      </c>
      <c r="I20" s="12" t="str">
        <f aca="false">IF(H20="","",IF(H20&lt;0,"PRZETERMINOWANE",IF(H20&lt;=14,"PILNE (≤14 dni)",IF(H20&lt;=45,"UWAGA (≤45 dni)","ZAPLANOWANE"))))</f>
        <v/>
      </c>
      <c r="J20" s="11"/>
    </row>
    <row r="21" customFormat="false" ht="30" hidden="false" customHeight="true" outlineLevel="0" collapsed="false">
      <c r="A21" s="13" t="n">
        <v>12</v>
      </c>
      <c r="B21" s="14" t="s">
        <v>37</v>
      </c>
      <c r="C21" s="15" t="s">
        <v>38</v>
      </c>
      <c r="D21" s="11"/>
      <c r="E21" s="11"/>
      <c r="F21" s="11"/>
      <c r="G21" s="11"/>
      <c r="H21" s="12" t="str">
        <f aca="true">IF(G21="","",G21-TODAY())</f>
        <v/>
      </c>
      <c r="I21" s="12" t="str">
        <f aca="false">IF(H21="","",IF(H21&lt;0,"PRZETERMINOWANE",IF(H21&lt;=14,"PILNE (≤14 dni)",IF(H21&lt;=45,"UWAGA (≤45 dni)","ZAPLANOWANE"))))</f>
        <v/>
      </c>
      <c r="J21" s="11"/>
    </row>
    <row r="22" customFormat="false" ht="30" hidden="false" customHeight="true" outlineLevel="0" collapsed="false">
      <c r="A22" s="8" t="n">
        <v>13</v>
      </c>
      <c r="B22" s="9" t="s">
        <v>39</v>
      </c>
      <c r="C22" s="10" t="s">
        <v>40</v>
      </c>
      <c r="D22" s="11"/>
      <c r="E22" s="11"/>
      <c r="F22" s="11"/>
      <c r="G22" s="11"/>
      <c r="H22" s="12" t="str">
        <f aca="true">IF(G22="","",G22-TODAY())</f>
        <v/>
      </c>
      <c r="I22" s="12" t="str">
        <f aca="false">IF(H22="","",IF(H22&lt;0,"PRZETERMINOWANE",IF(H22&lt;=14,"PILNE (≤14 dni)",IF(H22&lt;=45,"UWAGA (≤45 dni)","ZAPLANOWANE"))))</f>
        <v/>
      </c>
      <c r="J22" s="11"/>
    </row>
    <row r="23" customFormat="false" ht="30" hidden="false" customHeight="true" outlineLevel="0" collapsed="false">
      <c r="A23" s="13" t="n">
        <v>14</v>
      </c>
      <c r="B23" s="14" t="s">
        <v>41</v>
      </c>
      <c r="C23" s="15" t="s">
        <v>42</v>
      </c>
      <c r="D23" s="11"/>
      <c r="E23" s="11"/>
      <c r="F23" s="11"/>
      <c r="G23" s="11"/>
      <c r="H23" s="12" t="str">
        <f aca="true">IF(G23="","",G23-TODAY())</f>
        <v/>
      </c>
      <c r="I23" s="12" t="str">
        <f aca="false">IF(H23="","",IF(H23&lt;0,"PRZETERMINOWANE",IF(H23&lt;=14,"PILNE (≤14 dni)",IF(H23&lt;=45,"UWAGA (≤45 dni)","ZAPLANOWANE"))))</f>
        <v/>
      </c>
      <c r="J23" s="11"/>
    </row>
    <row r="24" customFormat="false" ht="30" hidden="false" customHeight="true" outlineLevel="0" collapsed="false">
      <c r="A24" s="8" t="n">
        <v>15</v>
      </c>
      <c r="B24" s="9" t="s">
        <v>43</v>
      </c>
      <c r="C24" s="10" t="s">
        <v>44</v>
      </c>
      <c r="D24" s="11"/>
      <c r="E24" s="11"/>
      <c r="F24" s="11"/>
      <c r="G24" s="11"/>
      <c r="H24" s="12" t="str">
        <f aca="true">IF(G24="","",G24-TODAY())</f>
        <v/>
      </c>
      <c r="I24" s="12" t="str">
        <f aca="false">IF(H24="","",IF(H24&lt;0,"PRZETERMINOWANE",IF(H24&lt;=14,"PILNE (≤14 dni)",IF(H24&lt;=45,"UWAGA (≤45 dni)","ZAPLANOWANE"))))</f>
        <v/>
      </c>
      <c r="J24" s="11"/>
    </row>
    <row r="25" customFormat="false" ht="30" hidden="false" customHeight="true" outlineLevel="0" collapsed="false">
      <c r="A25" s="13" t="n">
        <v>16</v>
      </c>
      <c r="B25" s="14" t="s">
        <v>45</v>
      </c>
      <c r="C25" s="15" t="s">
        <v>46</v>
      </c>
      <c r="D25" s="11"/>
      <c r="E25" s="11"/>
      <c r="F25" s="11"/>
      <c r="G25" s="11"/>
      <c r="H25" s="12" t="str">
        <f aca="true">IF(G25="","",G25-TODAY())</f>
        <v/>
      </c>
      <c r="I25" s="12" t="str">
        <f aca="false">IF(H25="","",IF(H25&lt;0,"PRZETERMINOWANE",IF(H25&lt;=14,"PILNE (≤14 dni)",IF(H25&lt;=45,"UWAGA (≤45 dni)","ZAPLANOWANE"))))</f>
        <v/>
      </c>
      <c r="J25" s="11"/>
    </row>
    <row r="26" customFormat="false" ht="30" hidden="false" customHeight="true" outlineLevel="0" collapsed="false">
      <c r="A26" s="8" t="n">
        <v>17</v>
      </c>
      <c r="B26" s="9" t="s">
        <v>47</v>
      </c>
      <c r="C26" s="10" t="s">
        <v>48</v>
      </c>
      <c r="D26" s="11"/>
      <c r="E26" s="11"/>
      <c r="F26" s="11"/>
      <c r="G26" s="11"/>
      <c r="H26" s="12" t="str">
        <f aca="true">IF(G26="","",G26-TODAY())</f>
        <v/>
      </c>
      <c r="I26" s="12" t="str">
        <f aca="false">IF(H26="","",IF(H26&lt;0,"PRZETERMINOWANE",IF(H26&lt;=14,"PILNE (≤14 dni)",IF(H26&lt;=45,"UWAGA (≤45 dni)","ZAPLANOWANE"))))</f>
        <v/>
      </c>
      <c r="J26" s="11"/>
    </row>
    <row r="27" customFormat="false" ht="30" hidden="false" customHeight="true" outlineLevel="0" collapsed="false">
      <c r="A27" s="13" t="n">
        <v>18</v>
      </c>
      <c r="B27" s="14" t="s">
        <v>49</v>
      </c>
      <c r="C27" s="15" t="s">
        <v>50</v>
      </c>
      <c r="D27" s="11"/>
      <c r="E27" s="11"/>
      <c r="F27" s="11"/>
      <c r="G27" s="11"/>
      <c r="H27" s="12" t="str">
        <f aca="true">IF(G27="","",G27-TODAY())</f>
        <v/>
      </c>
      <c r="I27" s="12" t="str">
        <f aca="false">IF(H27="","",IF(H27&lt;0,"PRZETERMINOWANE",IF(H27&lt;=14,"PILNE (≤14 dni)",IF(H27&lt;=45,"UWAGA (≤45 dni)","ZAPLANOWANE"))))</f>
        <v/>
      </c>
      <c r="J27" s="11"/>
    </row>
    <row r="28" customFormat="false" ht="30" hidden="false" customHeight="true" outlineLevel="0" collapsed="false">
      <c r="A28" s="8" t="n">
        <v>19</v>
      </c>
      <c r="B28" s="9" t="s">
        <v>51</v>
      </c>
      <c r="C28" s="10" t="s">
        <v>52</v>
      </c>
      <c r="D28" s="11"/>
      <c r="E28" s="11"/>
      <c r="F28" s="11"/>
      <c r="G28" s="11"/>
      <c r="H28" s="12" t="str">
        <f aca="true">IF(G28="","",G28-TODAY())</f>
        <v/>
      </c>
      <c r="I28" s="12" t="str">
        <f aca="false">IF(H28="","",IF(H28&lt;0,"PRZETERMINOWANE",IF(H28&lt;=14,"PILNE (≤14 dni)",IF(H28&lt;=45,"UWAGA (≤45 dni)","ZAPLANOWANE"))))</f>
        <v/>
      </c>
      <c r="J28" s="11"/>
    </row>
    <row r="29" customFormat="false" ht="30" hidden="false" customHeight="true" outlineLevel="0" collapsed="false">
      <c r="A29" s="13" t="n">
        <v>20</v>
      </c>
      <c r="B29" s="14" t="s">
        <v>53</v>
      </c>
      <c r="C29" s="15" t="s">
        <v>54</v>
      </c>
      <c r="D29" s="11"/>
      <c r="E29" s="11"/>
      <c r="F29" s="11"/>
      <c r="G29" s="11"/>
      <c r="H29" s="12" t="str">
        <f aca="true">IF(G29="","",G29-TODAY())</f>
        <v/>
      </c>
      <c r="I29" s="12" t="str">
        <f aca="false">IF(H29="","",IF(H29&lt;0,"PRZETERMINOWANE",IF(H29&lt;=14,"PILNE (≤14 dni)",IF(H29&lt;=45,"UWAGA (≤45 dni)","ZAPLANOWANE"))))</f>
        <v/>
      </c>
      <c r="J29" s="11"/>
    </row>
    <row r="30" customFormat="false" ht="30" hidden="false" customHeight="true" outlineLevel="0" collapsed="false">
      <c r="A30" s="8" t="n">
        <v>21</v>
      </c>
      <c r="B30" s="9" t="s">
        <v>55</v>
      </c>
      <c r="C30" s="10" t="s">
        <v>56</v>
      </c>
      <c r="D30" s="11"/>
      <c r="E30" s="11"/>
      <c r="F30" s="11"/>
      <c r="G30" s="11"/>
      <c r="H30" s="12" t="str">
        <f aca="true">IF(G30="","",G30-TODAY())</f>
        <v/>
      </c>
      <c r="I30" s="12" t="str">
        <f aca="false">IF(H30="","",IF(H30&lt;0,"PRZETERMINOWANE",IF(H30&lt;=14,"PILNE (≤14 dni)",IF(H30&lt;=45,"UWAGA (≤45 dni)","ZAPLANOWANE"))))</f>
        <v/>
      </c>
      <c r="J30" s="11"/>
    </row>
    <row r="31" customFormat="false" ht="30" hidden="false" customHeight="true" outlineLevel="0" collapsed="false">
      <c r="A31" s="13" t="n">
        <v>22</v>
      </c>
      <c r="B31" s="14" t="s">
        <v>57</v>
      </c>
      <c r="C31" s="15" t="s">
        <v>58</v>
      </c>
      <c r="D31" s="11"/>
      <c r="E31" s="11"/>
      <c r="F31" s="11"/>
      <c r="G31" s="11"/>
      <c r="H31" s="12" t="str">
        <f aca="true">IF(G31="","",G31-TODAY())</f>
        <v/>
      </c>
      <c r="I31" s="12" t="str">
        <f aca="false">IF(H31="","",IF(H31&lt;0,"PRZETERMINOWANE",IF(H31&lt;=14,"PILNE (≤14 dni)",IF(H31&lt;=45,"UWAGA (≤45 dni)","ZAPLANOWANE"))))</f>
        <v/>
      </c>
      <c r="J31" s="11"/>
    </row>
    <row r="32" customFormat="false" ht="30" hidden="false" customHeight="true" outlineLevel="0" collapsed="false">
      <c r="A32" s="8" t="n">
        <v>23</v>
      </c>
      <c r="B32" s="9" t="s">
        <v>59</v>
      </c>
      <c r="C32" s="10" t="s">
        <v>60</v>
      </c>
      <c r="D32" s="11"/>
      <c r="E32" s="11"/>
      <c r="F32" s="11"/>
      <c r="G32" s="11"/>
      <c r="H32" s="12" t="str">
        <f aca="true">IF(G32="","",G32-TODAY())</f>
        <v/>
      </c>
      <c r="I32" s="12" t="str">
        <f aca="false">IF(H32="","",IF(H32&lt;0,"PRZETERMINOWANE",IF(H32&lt;=14,"PILNE (≤14 dni)",IF(H32&lt;=45,"UWAGA (≤45 dni)","ZAPLANOWANE"))))</f>
        <v/>
      </c>
      <c r="J32" s="11"/>
    </row>
    <row r="33" customFormat="false" ht="30" hidden="false" customHeight="true" outlineLevel="0" collapsed="false">
      <c r="A33" s="13" t="n">
        <v>24</v>
      </c>
      <c r="B33" s="14" t="s">
        <v>61</v>
      </c>
      <c r="C33" s="15" t="s">
        <v>62</v>
      </c>
      <c r="D33" s="11"/>
      <c r="E33" s="11"/>
      <c r="F33" s="11"/>
      <c r="G33" s="11"/>
      <c r="H33" s="12" t="str">
        <f aca="true">IF(G33="","",G33-TODAY())</f>
        <v/>
      </c>
      <c r="I33" s="12" t="str">
        <f aca="false">IF(H33="","",IF(H33&lt;0,"PRZETERMINOWANE",IF(H33&lt;=14,"PILNE (≤14 dni)",IF(H33&lt;=45,"UWAGA (≤45 dni)","ZAPLANOWANE"))))</f>
        <v/>
      </c>
      <c r="J33" s="11"/>
    </row>
    <row r="34" customFormat="false" ht="30" hidden="false" customHeight="true" outlineLevel="0" collapsed="false">
      <c r="A34" s="8" t="n">
        <v>25</v>
      </c>
      <c r="B34" s="9" t="s">
        <v>63</v>
      </c>
      <c r="C34" s="10" t="s">
        <v>64</v>
      </c>
      <c r="D34" s="11"/>
      <c r="E34" s="11"/>
      <c r="F34" s="11"/>
      <c r="G34" s="11"/>
      <c r="H34" s="12" t="str">
        <f aca="true">IF(G34="","",G34-TODAY())</f>
        <v/>
      </c>
      <c r="I34" s="12" t="str">
        <f aca="false">IF(H34="","",IF(H34&lt;0,"PRZETERMINOWANE",IF(H34&lt;=14,"PILNE (≤14 dni)",IF(H34&lt;=45,"UWAGA (≤45 dni)","ZAPLANOWANE"))))</f>
        <v/>
      </c>
      <c r="J34" s="11"/>
    </row>
    <row r="35" customFormat="false" ht="30" hidden="false" customHeight="true" outlineLevel="0" collapsed="false">
      <c r="A35" s="13" t="n">
        <v>26</v>
      </c>
      <c r="B35" s="14" t="s">
        <v>65</v>
      </c>
      <c r="C35" s="15" t="s">
        <v>66</v>
      </c>
      <c r="D35" s="11"/>
      <c r="E35" s="11"/>
      <c r="F35" s="11"/>
      <c r="G35" s="11"/>
      <c r="H35" s="12" t="str">
        <f aca="true">IF(G35="","",G35-TODAY())</f>
        <v/>
      </c>
      <c r="I35" s="12" t="str">
        <f aca="false">IF(H35="","",IF(H35&lt;0,"PRZETERMINOWANE",IF(H35&lt;=14,"PILNE (≤14 dni)",IF(H35&lt;=45,"UWAGA (≤45 dni)","ZAPLANOWANE"))))</f>
        <v/>
      </c>
      <c r="J35" s="11"/>
    </row>
    <row r="36" customFormat="false" ht="30" hidden="false" customHeight="true" outlineLevel="0" collapsed="false">
      <c r="A36" s="8" t="n">
        <v>27</v>
      </c>
      <c r="B36" s="9" t="s">
        <v>67</v>
      </c>
      <c r="C36" s="10" t="s">
        <v>68</v>
      </c>
      <c r="D36" s="11"/>
      <c r="E36" s="11"/>
      <c r="F36" s="11"/>
      <c r="G36" s="11"/>
      <c r="H36" s="12" t="str">
        <f aca="true">IF(G36="","",G36-TODAY())</f>
        <v/>
      </c>
      <c r="I36" s="12" t="str">
        <f aca="false">IF(H36="","",IF(H36&lt;0,"PRZETERMINOWANE",IF(H36&lt;=14,"PILNE (≤14 dni)",IF(H36&lt;=45,"UWAGA (≤45 dni)","ZAPLANOWANE"))))</f>
        <v/>
      </c>
      <c r="J36" s="11"/>
    </row>
    <row r="37" customFormat="false" ht="30" hidden="false" customHeight="true" outlineLevel="0" collapsed="false">
      <c r="A37" s="13" t="n">
        <v>28</v>
      </c>
      <c r="B37" s="14" t="s">
        <v>69</v>
      </c>
      <c r="C37" s="15" t="s">
        <v>70</v>
      </c>
      <c r="D37" s="11"/>
      <c r="E37" s="11"/>
      <c r="F37" s="11"/>
      <c r="G37" s="11"/>
      <c r="H37" s="12" t="str">
        <f aca="true">IF(G37="","",G37-TODAY())</f>
        <v/>
      </c>
      <c r="I37" s="12" t="str">
        <f aca="false">IF(H37="","",IF(H37&lt;0,"PRZETERMINOWANE",IF(H37&lt;=14,"PILNE (≤14 dni)",IF(H37&lt;=45,"UWAGA (≤45 dni)","ZAPLANOWANE"))))</f>
        <v/>
      </c>
      <c r="J37" s="11"/>
    </row>
    <row r="38" customFormat="false" ht="30" hidden="false" customHeight="true" outlineLevel="0" collapsed="false">
      <c r="A38" s="8" t="n">
        <v>29</v>
      </c>
      <c r="B38" s="9" t="s">
        <v>71</v>
      </c>
      <c r="C38" s="10" t="s">
        <v>72</v>
      </c>
      <c r="D38" s="11"/>
      <c r="E38" s="11"/>
      <c r="F38" s="11"/>
      <c r="G38" s="11"/>
      <c r="H38" s="12" t="str">
        <f aca="true">IF(G38="","",G38-TODAY())</f>
        <v/>
      </c>
      <c r="I38" s="12" t="str">
        <f aca="false">IF(H38="","",IF(H38&lt;0,"PRZETERMINOWANE",IF(H38&lt;=14,"PILNE (≤14 dni)",IF(H38&lt;=45,"UWAGA (≤45 dni)","ZAPLANOWANE"))))</f>
        <v/>
      </c>
      <c r="J38" s="11"/>
    </row>
    <row r="39" customFormat="false" ht="30" hidden="false" customHeight="true" outlineLevel="0" collapsed="false">
      <c r="A39" s="13" t="n">
        <v>30</v>
      </c>
      <c r="B39" s="14" t="s">
        <v>73</v>
      </c>
      <c r="C39" s="15" t="s">
        <v>74</v>
      </c>
      <c r="D39" s="11"/>
      <c r="E39" s="11"/>
      <c r="F39" s="11"/>
      <c r="G39" s="11"/>
      <c r="H39" s="12" t="str">
        <f aca="true">IF(G39="","",G39-TODAY())</f>
        <v/>
      </c>
      <c r="I39" s="12" t="str">
        <f aca="false">IF(H39="","",IF(H39&lt;0,"PRZETERMINOWANE",IF(H39&lt;=14,"PILNE (≤14 dni)",IF(H39&lt;=45,"UWAGA (≤45 dni)","ZAPLANOWANE"))))</f>
        <v/>
      </c>
      <c r="J39" s="11"/>
    </row>
    <row r="40" customFormat="false" ht="30" hidden="false" customHeight="true" outlineLevel="0" collapsed="false">
      <c r="A40" s="8" t="n">
        <v>31</v>
      </c>
      <c r="B40" s="9" t="s">
        <v>75</v>
      </c>
      <c r="C40" s="10" t="s">
        <v>76</v>
      </c>
      <c r="D40" s="11"/>
      <c r="E40" s="11"/>
      <c r="F40" s="11"/>
      <c r="G40" s="11"/>
      <c r="H40" s="12" t="str">
        <f aca="true">IF(G40="","",G40-TODAY())</f>
        <v/>
      </c>
      <c r="I40" s="12" t="str">
        <f aca="false">IF(H40="","",IF(H40&lt;0,"PRZETERMINOWANE",IF(H40&lt;=14,"PILNE (≤14 dni)",IF(H40&lt;=45,"UWAGA (≤45 dni)","ZAPLANOWANE"))))</f>
        <v/>
      </c>
      <c r="J40" s="11"/>
    </row>
    <row r="41" customFormat="false" ht="30" hidden="false" customHeight="true" outlineLevel="0" collapsed="false">
      <c r="A41" s="13" t="n">
        <v>32</v>
      </c>
      <c r="B41" s="14" t="s">
        <v>77</v>
      </c>
      <c r="C41" s="15" t="s">
        <v>78</v>
      </c>
      <c r="D41" s="11"/>
      <c r="E41" s="11"/>
      <c r="F41" s="11"/>
      <c r="G41" s="11"/>
      <c r="H41" s="12" t="str">
        <f aca="true">IF(G41="","",G41-TODAY())</f>
        <v/>
      </c>
      <c r="I41" s="12" t="str">
        <f aca="false">IF(H41="","",IF(H41&lt;0,"PRZETERMINOWANE",IF(H41&lt;=14,"PILNE (≤14 dni)",IF(H41&lt;=45,"UWAGA (≤45 dni)","ZAPLANOWANE"))))</f>
        <v/>
      </c>
      <c r="J41" s="11"/>
    </row>
    <row r="42" customFormat="false" ht="30" hidden="false" customHeight="true" outlineLevel="0" collapsed="false">
      <c r="A42" s="8" t="n">
        <v>33</v>
      </c>
      <c r="B42" s="9" t="s">
        <v>79</v>
      </c>
      <c r="C42" s="10" t="s">
        <v>80</v>
      </c>
      <c r="D42" s="11"/>
      <c r="E42" s="11"/>
      <c r="F42" s="11"/>
      <c r="G42" s="11"/>
      <c r="H42" s="12" t="str">
        <f aca="true">IF(G42="","",G42-TODAY())</f>
        <v/>
      </c>
      <c r="I42" s="12" t="str">
        <f aca="false">IF(H42="","",IF(H42&lt;0,"PRZETERMINOWANE",IF(H42&lt;=14,"PILNE (≤14 dni)",IF(H42&lt;=45,"UWAGA (≤45 dni)","ZAPLANOWANE"))))</f>
        <v/>
      </c>
      <c r="J42" s="11"/>
    </row>
    <row r="43" customFormat="false" ht="30" hidden="false" customHeight="true" outlineLevel="0" collapsed="false">
      <c r="A43" s="13" t="n">
        <v>34</v>
      </c>
      <c r="B43" s="14" t="s">
        <v>81</v>
      </c>
      <c r="C43" s="15" t="s">
        <v>82</v>
      </c>
      <c r="D43" s="11"/>
      <c r="E43" s="11"/>
      <c r="F43" s="11"/>
      <c r="G43" s="11"/>
      <c r="H43" s="12" t="str">
        <f aca="true">IF(G43="","",G43-TODAY())</f>
        <v/>
      </c>
      <c r="I43" s="12" t="str">
        <f aca="false">IF(H43="","",IF(H43&lt;0,"PRZETERMINOWANE",IF(H43&lt;=14,"PILNE (≤14 dni)",IF(H43&lt;=45,"UWAGA (≤45 dni)","ZAPLANOWANE"))))</f>
        <v/>
      </c>
      <c r="J43" s="11"/>
    </row>
    <row r="44" customFormat="false" ht="30" hidden="false" customHeight="true" outlineLevel="0" collapsed="false">
      <c r="A44" s="8" t="n">
        <v>35</v>
      </c>
      <c r="B44" s="9" t="s">
        <v>83</v>
      </c>
      <c r="C44" s="10" t="s">
        <v>84</v>
      </c>
      <c r="D44" s="11"/>
      <c r="E44" s="11"/>
      <c r="F44" s="11"/>
      <c r="G44" s="11"/>
      <c r="H44" s="12" t="str">
        <f aca="true">IF(G44="","",G44-TODAY())</f>
        <v/>
      </c>
      <c r="I44" s="12" t="str">
        <f aca="false">IF(H44="","",IF(H44&lt;0,"PRZETERMINOWANE",IF(H44&lt;=14,"PILNE (≤14 dni)",IF(H44&lt;=45,"UWAGA (≤45 dni)","ZAPLANOWANE"))))</f>
        <v/>
      </c>
      <c r="J44" s="11"/>
    </row>
    <row r="45" customFormat="false" ht="30" hidden="false" customHeight="true" outlineLevel="0" collapsed="false">
      <c r="A45" s="13" t="n">
        <v>36</v>
      </c>
      <c r="B45" s="14" t="s">
        <v>85</v>
      </c>
      <c r="C45" s="15" t="s">
        <v>86</v>
      </c>
      <c r="D45" s="11"/>
      <c r="E45" s="11"/>
      <c r="F45" s="11"/>
      <c r="G45" s="11"/>
      <c r="H45" s="12" t="str">
        <f aca="true">IF(G45="","",G45-TODAY())</f>
        <v/>
      </c>
      <c r="I45" s="12" t="str">
        <f aca="false">IF(H45="","",IF(H45&lt;0,"PRZETERMINOWANE",IF(H45&lt;=14,"PILNE (≤14 dni)",IF(H45&lt;=45,"UWAGA (≤45 dni)","ZAPLANOWANE"))))</f>
        <v/>
      </c>
      <c r="J45" s="11"/>
    </row>
    <row r="47" customFormat="false" ht="45.75" hidden="false" customHeight="true" outlineLevel="0" collapsed="false">
      <c r="A47" s="16" t="s">
        <v>87</v>
      </c>
      <c r="B47" s="16"/>
      <c r="C47" s="16"/>
      <c r="D47" s="16"/>
      <c r="E47" s="16"/>
      <c r="F47" s="16"/>
      <c r="G47" s="16"/>
      <c r="H47" s="16"/>
      <c r="I47" s="16"/>
      <c r="J47" s="16"/>
    </row>
    <row r="48" customFormat="false" ht="30" hidden="false" customHeight="true" outlineLevel="0" collapsed="false">
      <c r="A48" s="17" t="s">
        <v>88</v>
      </c>
      <c r="B48" s="17"/>
      <c r="C48" s="17"/>
      <c r="D48" s="17"/>
      <c r="E48" s="17"/>
      <c r="F48" s="17"/>
      <c r="G48" s="17"/>
      <c r="H48" s="17"/>
      <c r="I48" s="17"/>
      <c r="J48" s="17"/>
    </row>
    <row r="50" customFormat="false" ht="3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2" customFormat="false" ht="19.5" hidden="false" customHeight="true" outlineLevel="0" collapsed="false">
      <c r="A52" s="18" t="s">
        <v>89</v>
      </c>
      <c r="B52" s="18"/>
      <c r="C52" s="18"/>
      <c r="D52" s="18"/>
      <c r="E52" s="18"/>
      <c r="F52" s="18" t="s">
        <v>90</v>
      </c>
      <c r="G52" s="18"/>
      <c r="H52" s="18"/>
      <c r="I52" s="18"/>
      <c r="J52" s="18"/>
    </row>
    <row r="53" customFormat="false" ht="19.5" hidden="false" customHeight="true" outlineLevel="0" collapsed="false">
      <c r="A53" s="19" t="s">
        <v>91</v>
      </c>
      <c r="B53" s="19"/>
      <c r="C53" s="19"/>
      <c r="D53" s="19"/>
      <c r="E53" s="19"/>
      <c r="F53" s="19" t="s">
        <v>91</v>
      </c>
      <c r="G53" s="19"/>
      <c r="H53" s="19"/>
      <c r="I53" s="19"/>
      <c r="J53" s="19"/>
    </row>
    <row r="55" customFormat="false" ht="15" hidden="false" customHeight="false" outlineLevel="0" collapsed="false">
      <c r="A55" s="20" t="s">
        <v>92</v>
      </c>
      <c r="B55" s="20"/>
      <c r="C55" s="20"/>
      <c r="D55" s="20"/>
      <c r="E55" s="20"/>
      <c r="F55" s="20"/>
      <c r="G55" s="20"/>
      <c r="H55" s="20"/>
      <c r="I55" s="20"/>
      <c r="J55" s="20"/>
    </row>
  </sheetData>
  <mergeCells count="16">
    <mergeCell ref="A1:J1"/>
    <mergeCell ref="A3:J3"/>
    <mergeCell ref="A4:J4"/>
    <mergeCell ref="A5:J5"/>
    <mergeCell ref="A7:B7"/>
    <mergeCell ref="C7:E7"/>
    <mergeCell ref="F7:G7"/>
    <mergeCell ref="H7:J7"/>
    <mergeCell ref="A47:J47"/>
    <mergeCell ref="A48:J48"/>
    <mergeCell ref="A50:J50"/>
    <mergeCell ref="A52:E52"/>
    <mergeCell ref="F52:J52"/>
    <mergeCell ref="A53:E53"/>
    <mergeCell ref="F53:J53"/>
    <mergeCell ref="A55:J55"/>
  </mergeCells>
  <conditionalFormatting sqref="I10:I45">
    <cfRule type="expression" priority="2" aboveAverage="0" equalAverage="0" bottom="0" percent="0" rank="0" text="" dxfId="0">
      <formula>I10="PRZETERMINOWANE"</formula>
    </cfRule>
    <cfRule type="expression" priority="3" aboveAverage="0" equalAverage="0" bottom="0" percent="0" rank="0" text="" dxfId="0">
      <formula>I10="PILNE (≤14 dni)"</formula>
    </cfRule>
    <cfRule type="expression" priority="4" aboveAverage="0" equalAverage="0" bottom="0" percent="0" rank="0" text="" dxfId="1">
      <formula>I10="UWAGA (≤45 dni)"</formula>
    </cfRule>
    <cfRule type="expression" priority="5" aboveAverage="0" equalAverage="0" bottom="0" percent="0" rank="0" text="" dxfId="2">
      <formula>I10="ZAPLANOWANE"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2026-09-02T08:55:56Z</dcterms:created>
  <dc:creator>openpyxl</dc:creator>
  <dc:description/>
  <dc:language>en-US</dc:language>
  <cp:lastModifiedBy/>
  <dcterms:modified xsi:type="dcterms:W3CDTF">2026-09-02T08:55:56Z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